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gowthrj/Documents/PaymentReminder/"/>
    </mc:Choice>
  </mc:AlternateContent>
  <xr:revisionPtr revIDLastSave="0" documentId="13_ncr:1_{F0E8B72B-93AE-E74C-8EDA-D51211783274}" xr6:coauthVersionLast="47" xr6:coauthVersionMax="47" xr10:uidLastSave="{00000000-0000-0000-0000-000000000000}"/>
  <bookViews>
    <workbookView xWindow="-20" yWindow="500" windowWidth="28800" windowHeight="16260" xr2:uid="{00000000-000D-0000-FFFF-FFFF00000000}"/>
  </bookViews>
  <sheets>
    <sheet name="CustomerData" sheetId="1" r:id="rId1"/>
  </sheets>
  <definedNames>
    <definedName name="_xlnm._FilterDatabase" localSheetId="0" hidden="1">CustomerData!$A$1:$J$58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5" roundtripDataChecksum="GDni8R7cEKzE0/lpp74ZlFgZEBxvQx+8vnDo5l04Tfs="/>
    </ext>
  </extLst>
</workbook>
</file>

<file path=xl/calcChain.xml><?xml version="1.0" encoding="utf-8"?>
<calcChain xmlns="http://schemas.openxmlformats.org/spreadsheetml/2006/main">
  <c r="D29" i="1" l="1"/>
  <c r="D27" i="1"/>
  <c r="D45" i="1"/>
  <c r="D15" i="1"/>
  <c r="D37" i="1"/>
  <c r="D35" i="1"/>
  <c r="D30" i="1"/>
  <c r="D17" i="1"/>
  <c r="D50" i="1"/>
</calcChain>
</file>

<file path=xl/sharedStrings.xml><?xml version="1.0" encoding="utf-8"?>
<sst xmlns="http://schemas.openxmlformats.org/spreadsheetml/2006/main" count="276" uniqueCount="149">
  <si>
    <t>S.No</t>
  </si>
  <si>
    <t>Name</t>
  </si>
  <si>
    <t>Number</t>
  </si>
  <si>
    <t>Amount</t>
  </si>
  <si>
    <t>Cycle</t>
  </si>
  <si>
    <t>Status</t>
  </si>
  <si>
    <t>Mode</t>
  </si>
  <si>
    <t>Smartcard Number</t>
  </si>
  <si>
    <t>Customer Status</t>
  </si>
  <si>
    <t>10 T3 MD Shafiq</t>
  </si>
  <si>
    <t>offline</t>
  </si>
  <si>
    <t>830600019E5B</t>
  </si>
  <si>
    <t>13 T3 Kumaran</t>
  </si>
  <si>
    <t xml:space="preserve">mar apr may june </t>
  </si>
  <si>
    <t>active</t>
  </si>
  <si>
    <t>15 T4 B Ravikumar</t>
  </si>
  <si>
    <t>march and april</t>
  </si>
  <si>
    <t>gpay</t>
  </si>
  <si>
    <t>17 T2 D Karunamoorthy</t>
  </si>
  <si>
    <t>jan feb mar apr</t>
  </si>
  <si>
    <t>8331000669D5</t>
  </si>
  <si>
    <t>1A T3 MS2 Vinay Kumar Pandey</t>
  </si>
  <si>
    <t>may june july aug sep oct nov dec jan feb</t>
  </si>
  <si>
    <t>1A T2 MS2 S Rajasekaran</t>
  </si>
  <si>
    <t>April may</t>
  </si>
  <si>
    <t>paid</t>
  </si>
  <si>
    <t>833100060cc1</t>
  </si>
  <si>
    <t>1B T4 MS1 HarishKumaran</t>
  </si>
  <si>
    <t xml:space="preserve">April may </t>
  </si>
  <si>
    <t>8306003C1DFE</t>
  </si>
  <si>
    <t>1C T2 MS2 Kumaresan</t>
  </si>
  <si>
    <t>Paid</t>
  </si>
  <si>
    <t>1D T2 MS2 Shanmugha Priya</t>
  </si>
  <si>
    <t>8306000671F4</t>
  </si>
  <si>
    <t>21 T2 V Mahendran</t>
  </si>
  <si>
    <t>8306002C51D6</t>
  </si>
  <si>
    <t>2A T3 MS2 R Ganesh</t>
  </si>
  <si>
    <t>May - Dec 24</t>
  </si>
  <si>
    <t>830600248EE0</t>
  </si>
  <si>
    <t>inactive</t>
  </si>
  <si>
    <t>2A T5 MS3 E Shankar</t>
  </si>
  <si>
    <t>8306003940A2</t>
  </si>
  <si>
    <t>2A T4 MS1 Marimuthu</t>
  </si>
  <si>
    <t>83060024A154</t>
  </si>
  <si>
    <t>2B T2 MS2 Gopal</t>
  </si>
  <si>
    <t>2C T2 MS2 Sumitha</t>
  </si>
  <si>
    <t>march april</t>
  </si>
  <si>
    <t>8306002431C6</t>
  </si>
  <si>
    <t>2D T2 MS2 Jagadeesan</t>
  </si>
  <si>
    <t>36 T2 Kesavan Jeyaraman</t>
  </si>
  <si>
    <t>3A T5 MS3 Kanagaraj J</t>
  </si>
  <si>
    <t>830600022DE1</t>
  </si>
  <si>
    <t>3B T2 MS2 Vaidhyanathan</t>
  </si>
  <si>
    <t>apr may jun jul</t>
  </si>
  <si>
    <t>830600242FB3</t>
  </si>
  <si>
    <t>8306003E8462</t>
  </si>
  <si>
    <t>4 MS1 Dobby Perumal</t>
  </si>
  <si>
    <t>8306003D466B</t>
  </si>
  <si>
    <t>66 SA KM Sridhar</t>
  </si>
  <si>
    <t>8306002490DD</t>
  </si>
  <si>
    <t>4 T4 BABU</t>
  </si>
  <si>
    <t>April and May</t>
  </si>
  <si>
    <t>45 SA Siba May Mandal</t>
  </si>
  <si>
    <t>8306000B4BE8</t>
  </si>
  <si>
    <t>49 SA SR Balasubramaniam</t>
  </si>
  <si>
    <t>8306003E7B8A</t>
  </si>
  <si>
    <t>4A T5 MS3 Sree BalaKameshwari</t>
  </si>
  <si>
    <t>4B T2 MS2 Kennedy</t>
  </si>
  <si>
    <t>4B T3 MS2 Ravi Banothu</t>
  </si>
  <si>
    <t>8306003C33A4</t>
  </si>
  <si>
    <t>4B T5 MS2 Vijaya Kumar</t>
  </si>
  <si>
    <t>830600014F06</t>
  </si>
  <si>
    <t>5 SA R Geetha</t>
  </si>
  <si>
    <t>83310003FAF2</t>
  </si>
  <si>
    <t>5A T2 MS2 Rajaji</t>
  </si>
  <si>
    <t>8306003E1A18</t>
  </si>
  <si>
    <t>5B T4 MS1 Vasudevan P</t>
  </si>
  <si>
    <t>5B T5 MS3 Subhendu Chakrabarthi</t>
  </si>
  <si>
    <t>8306003E37D6</t>
  </si>
  <si>
    <t>5C T2 MS2 Jai Kumar</t>
  </si>
  <si>
    <t>83310005BB3E</t>
  </si>
  <si>
    <t>5D T2 MS2 K Dayalan</t>
  </si>
  <si>
    <t>6 T1 MC Chinna Krishnan</t>
  </si>
  <si>
    <t>83310006009D</t>
  </si>
  <si>
    <t>6 T3 Rajesh</t>
  </si>
  <si>
    <t>830600049A04</t>
  </si>
  <si>
    <t>68 SA BVN Phanikumar</t>
  </si>
  <si>
    <t>Aug - dec 24</t>
  </si>
  <si>
    <t>83310003FB27</t>
  </si>
  <si>
    <t>6B T4 MS1 Thirumaran</t>
  </si>
  <si>
    <t>8306003F0109</t>
  </si>
  <si>
    <t>6C T2 MS2 G Arun Raj</t>
  </si>
  <si>
    <t>8306003DB517</t>
  </si>
  <si>
    <t>7 T3 F Lakshmikanth</t>
  </si>
  <si>
    <t>oct nov dec jan</t>
  </si>
  <si>
    <t>830600063c52</t>
  </si>
  <si>
    <t>72 SA Ambily</t>
  </si>
  <si>
    <t>7A T3 MS2 Giri Babu</t>
  </si>
  <si>
    <t>830600025A71</t>
  </si>
  <si>
    <t>7B T2 MS2 Saravanan Gopinath</t>
  </si>
  <si>
    <t>7B T4 MS3 MB ANOOP</t>
  </si>
  <si>
    <t>83060023F0F7</t>
  </si>
  <si>
    <t>7B T3 MS2 SureshSethurajan</t>
  </si>
  <si>
    <t>sep and oct</t>
  </si>
  <si>
    <t>7C T2 MS2 S Rajendra Prasad</t>
  </si>
  <si>
    <t>83060025CD9F</t>
  </si>
  <si>
    <t>8 T2 Ashok Kumar</t>
  </si>
  <si>
    <t>sep oct nov dec</t>
  </si>
  <si>
    <t>8A T2 MS2 D Ramesh</t>
  </si>
  <si>
    <t>8A T3 MS2 Mani</t>
  </si>
  <si>
    <t>feb mar</t>
  </si>
  <si>
    <t>830600093EEA</t>
  </si>
  <si>
    <t>8B T2 MS2 A Alexander</t>
  </si>
  <si>
    <t>8C T2 MS2 Balaji Babu</t>
  </si>
  <si>
    <t>june july aug sept oct nov dec jan feb march</t>
  </si>
  <si>
    <t>8306003CDB69</t>
  </si>
  <si>
    <t>8D T2 MS2 Rajesh R</t>
  </si>
  <si>
    <t>mar apr</t>
  </si>
  <si>
    <t>8306003CAFA5</t>
  </si>
  <si>
    <t>9 T1 Dhanalakshmi Tambura</t>
  </si>
  <si>
    <t>8306003EA7F1</t>
  </si>
  <si>
    <t>9 T3 Ananda Pandiya Raj</t>
  </si>
  <si>
    <t>833100019A0E</t>
  </si>
  <si>
    <t>9C T2 MS2 P Ravichandran</t>
  </si>
  <si>
    <t>2024(full year), 2025 (jan feb)</t>
  </si>
  <si>
    <t>8306003C98AF</t>
  </si>
  <si>
    <t>Dispensary</t>
  </si>
  <si>
    <t>may june</t>
  </si>
  <si>
    <t>833100073CB8</t>
  </si>
  <si>
    <t>jan</t>
  </si>
  <si>
    <t>Secondry Smartcard Number</t>
  </si>
  <si>
    <t>April may junejuly august sep oct nov dec [2023], 12 months [2024], jan feb mar apr [2025] . Total 25 months</t>
  </si>
  <si>
    <t>last paid till 2023 Jan. Due : 11 months [2023], 12 months [2024], 4 months [2025]. Total : 27 months</t>
  </si>
  <si>
    <t>Last paid till June-July 2023. Aug sep oct nov dec [2023], 12 months [2024], 4months[2025]. Total 21 Months</t>
  </si>
  <si>
    <t>SkipUntil</t>
  </si>
  <si>
    <t>last paid may23 june23. due july aug sep oct nov dec [2023, 6 months], [2024, 12 months], [2025, 4 months ]. Total 22 months</t>
  </si>
  <si>
    <t>last paid till Jan 2023. [2023, 11 months], [2024, 12 months], [2025 4 months] total 27 months</t>
  </si>
  <si>
    <t>7845123989;9962380278</t>
  </si>
  <si>
    <t>Last paid till Mar 23. due: apr, may, june july aug sep oct nov dec, [2023, 9 months], [2024, 12 months], [2025, 4 months]. Total: 25 months</t>
  </si>
  <si>
    <t>last paid till oct 2023. due: nov dec [2023, 2 months],[2024, 12 months],[ 2025, 4 months]. Total 16 months</t>
  </si>
  <si>
    <t>april</t>
  </si>
  <si>
    <t>last paid till aug 2024. due : sep oct nov dec [2024 4 months], jan feb mar apr [2025 4 months]. Total 8 months</t>
  </si>
  <si>
    <t>4C T2 MS2 K Srinivasan</t>
  </si>
  <si>
    <t>8306002465FC</t>
  </si>
  <si>
    <t>july 2024, april-may 2025. total : 3 months</t>
  </si>
  <si>
    <t>last paid till nov dec 2023. due : jan feb mar apr may june july aug sep oct(15days) [10.5 months 2024] for two TVs amount : 6195. Disconnected  for 1 TV ( 320/month) from rest of oct retained 1 TV ( 270/month). due: half oct, nov,dec [2024 2.5 months]. Jan,feb,mar,apr[ 2025 4 months] due : 6.5 months 1755. total due :6195 + 1755 = 7950</t>
  </si>
  <si>
    <t>9710771253;8681951154</t>
  </si>
  <si>
    <t>Last paid till sep 2023. due: oct nov dec [2023 3 months], full year [2024 12 months], jan feb mar apr [2025 4 months]. Total due 19 months 7600  extra credits 400. total pending 7200</t>
  </si>
  <si>
    <t>phonepe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</si>
</sst>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Font="1"/>
    <xf numFmtId="11" fontId="4" fillId="0" borderId="0" xfId="0" applyNumberFormat="1" applyFont="1"/>
    <xf numFmtId="0" fontId="3" fillId="0" borderId="0" xfId="0" applyFont="1"/>
    <xf numFmtId="17" fontId="4" fillId="0" borderId="0" xfId="0" applyNumberFormat="1" applyFont="1"/>
    <xf numFmtId="14" fontId="3" fillId="0" borderId="0" xfId="0" applyNumberFormat="1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58"/>
  <sheetViews>
    <sheetView tabSelected="1" workbookViewId="0">
      <pane ySplit="1" topLeftCell="A2" activePane="bottomLeft" state="frozen"/>
      <selection pane="bottomLeft" activeCell="E20" sqref="E20"/>
    </sheetView>
  </sheetViews>
  <sheetFormatPr baseColWidth="10" defaultColWidth="11.1640625" defaultRowHeight="15" customHeight="1" x14ac:dyDescent="0.2"/>
  <cols>
    <col min="1" max="1" width="5" customWidth="1"/>
    <col min="2" max="2" width="29.83203125" customWidth="1"/>
    <col min="3" max="3" width="26.1640625" customWidth="1"/>
    <col min="4" max="4" width="7.6640625" customWidth="1"/>
    <col min="5" max="5" width="43.33203125" customWidth="1"/>
    <col min="6" max="6" width="12.83203125" customWidth="1"/>
    <col min="7" max="7" width="6.5" customWidth="1"/>
    <col min="8" max="8" width="38.6640625" customWidth="1"/>
    <col min="9" max="9" width="29.1640625" customWidth="1"/>
    <col min="10" max="10" width="16.1640625" customWidth="1"/>
    <col min="11" max="11" width="12.5" customWidth="1"/>
    <col min="12" max="26" width="10.5" customWidth="1"/>
  </cols>
  <sheetData>
    <row r="1" spans="1:11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130</v>
      </c>
      <c r="J1" s="1" t="s">
        <v>8</v>
      </c>
      <c r="K1" s="1" t="s">
        <v>134</v>
      </c>
    </row>
    <row r="2" spans="1:11" ht="15.75" customHeight="1" x14ac:dyDescent="0.2">
      <c r="A2" s="1">
        <v>1</v>
      </c>
      <c r="B2" s="1" t="s">
        <v>9</v>
      </c>
      <c r="C2" s="1">
        <v>8300259865</v>
      </c>
      <c r="D2" s="1">
        <v>650</v>
      </c>
      <c r="G2" s="1" t="s">
        <v>10</v>
      </c>
      <c r="H2" s="1" t="s">
        <v>11</v>
      </c>
      <c r="K2" s="3"/>
    </row>
    <row r="3" spans="1:11" ht="15.75" customHeight="1" x14ac:dyDescent="0.2">
      <c r="A3" s="1">
        <v>2</v>
      </c>
      <c r="B3" s="1" t="s">
        <v>12</v>
      </c>
      <c r="C3" s="1">
        <v>6381658557</v>
      </c>
      <c r="D3" s="1">
        <v>1160</v>
      </c>
      <c r="E3" s="1" t="s">
        <v>13</v>
      </c>
      <c r="G3" s="1" t="s">
        <v>10</v>
      </c>
      <c r="H3" s="1">
        <v>42840484190</v>
      </c>
      <c r="J3" s="1" t="s">
        <v>14</v>
      </c>
      <c r="K3" s="3"/>
    </row>
    <row r="4" spans="1:11" ht="15.75" customHeight="1" x14ac:dyDescent="0.2">
      <c r="A4" s="1">
        <v>3</v>
      </c>
      <c r="B4" s="1" t="s">
        <v>15</v>
      </c>
      <c r="C4" s="1">
        <v>9965154574</v>
      </c>
      <c r="D4" s="1">
        <v>1040</v>
      </c>
      <c r="E4" s="1" t="s">
        <v>16</v>
      </c>
      <c r="F4" s="1"/>
      <c r="G4" s="1" t="s">
        <v>17</v>
      </c>
      <c r="H4" s="1">
        <v>21485809525</v>
      </c>
      <c r="J4" s="1" t="s">
        <v>14</v>
      </c>
      <c r="K4" s="3"/>
    </row>
    <row r="5" spans="1:11" ht="15.75" customHeight="1" x14ac:dyDescent="0.2">
      <c r="A5" s="1">
        <v>4</v>
      </c>
      <c r="B5" s="1" t="s">
        <v>18</v>
      </c>
      <c r="C5" s="1">
        <v>7845229870</v>
      </c>
      <c r="D5" s="1">
        <v>1040</v>
      </c>
      <c r="E5" s="1" t="s">
        <v>19</v>
      </c>
      <c r="G5" s="1" t="s">
        <v>10</v>
      </c>
      <c r="H5" s="1" t="s">
        <v>20</v>
      </c>
      <c r="K5" s="3"/>
    </row>
    <row r="6" spans="1:11" ht="15.75" customHeight="1" x14ac:dyDescent="0.2">
      <c r="A6" s="1">
        <v>5</v>
      </c>
      <c r="B6" s="1" t="s">
        <v>21</v>
      </c>
      <c r="C6" s="1" t="s">
        <v>146</v>
      </c>
      <c r="D6" s="1">
        <v>3000</v>
      </c>
      <c r="E6" s="1" t="s">
        <v>22</v>
      </c>
      <c r="G6" s="1" t="s">
        <v>17</v>
      </c>
      <c r="H6" s="1">
        <v>41187589500</v>
      </c>
      <c r="J6" s="1" t="s">
        <v>14</v>
      </c>
      <c r="K6" s="3"/>
    </row>
    <row r="7" spans="1:11" ht="15.75" hidden="1" customHeight="1" x14ac:dyDescent="0.2">
      <c r="A7" s="1">
        <v>6</v>
      </c>
      <c r="B7" s="1" t="s">
        <v>23</v>
      </c>
      <c r="C7" s="1">
        <v>9941145355</v>
      </c>
      <c r="D7" s="1">
        <v>565</v>
      </c>
      <c r="E7" s="1" t="s">
        <v>24</v>
      </c>
      <c r="F7" s="1" t="s">
        <v>25</v>
      </c>
      <c r="G7" s="1" t="s">
        <v>17</v>
      </c>
      <c r="H7" s="1" t="s">
        <v>26</v>
      </c>
      <c r="J7" s="1" t="s">
        <v>14</v>
      </c>
      <c r="K7" s="3"/>
    </row>
    <row r="8" spans="1:11" ht="15.75" hidden="1" customHeight="1" x14ac:dyDescent="0.2">
      <c r="A8" s="1">
        <v>7</v>
      </c>
      <c r="B8" s="1" t="s">
        <v>27</v>
      </c>
      <c r="C8" s="1">
        <v>9445390087</v>
      </c>
      <c r="D8" s="1">
        <v>580</v>
      </c>
      <c r="E8" s="1" t="s">
        <v>28</v>
      </c>
      <c r="F8" s="1" t="s">
        <v>25</v>
      </c>
      <c r="G8" s="1" t="s">
        <v>17</v>
      </c>
      <c r="H8" s="1" t="s">
        <v>29</v>
      </c>
      <c r="J8" s="1" t="s">
        <v>14</v>
      </c>
      <c r="K8" s="3"/>
    </row>
    <row r="9" spans="1:11" ht="15.75" hidden="1" customHeight="1" x14ac:dyDescent="0.2">
      <c r="A9" s="1">
        <v>8</v>
      </c>
      <c r="B9" s="1" t="s">
        <v>30</v>
      </c>
      <c r="C9" s="1">
        <v>9840265460</v>
      </c>
      <c r="D9" s="1">
        <v>580</v>
      </c>
      <c r="E9" s="1" t="s">
        <v>28</v>
      </c>
      <c r="F9" s="1" t="s">
        <v>31</v>
      </c>
      <c r="G9" s="1" t="s">
        <v>17</v>
      </c>
      <c r="H9" s="2">
        <v>831000000000</v>
      </c>
      <c r="J9" s="1" t="s">
        <v>14</v>
      </c>
      <c r="K9" s="3"/>
    </row>
    <row r="10" spans="1:11" ht="15.75" hidden="1" customHeight="1" x14ac:dyDescent="0.2">
      <c r="A10" s="1">
        <v>9</v>
      </c>
      <c r="B10" s="1" t="s">
        <v>32</v>
      </c>
      <c r="C10" s="1">
        <v>7871537717</v>
      </c>
      <c r="D10" s="1">
        <v>280</v>
      </c>
      <c r="E10" s="4" t="s">
        <v>129</v>
      </c>
      <c r="F10" s="6" t="s">
        <v>25</v>
      </c>
      <c r="G10" s="1" t="s">
        <v>17</v>
      </c>
      <c r="H10" s="1" t="s">
        <v>33</v>
      </c>
      <c r="J10" s="1" t="s">
        <v>39</v>
      </c>
      <c r="K10" s="3"/>
    </row>
    <row r="11" spans="1:11" ht="15.75" customHeight="1" x14ac:dyDescent="0.2">
      <c r="A11" s="1">
        <v>10</v>
      </c>
      <c r="B11" s="1" t="s">
        <v>34</v>
      </c>
      <c r="C11" s="1">
        <v>9942716664</v>
      </c>
      <c r="D11" s="1">
        <v>1160</v>
      </c>
      <c r="E11" s="1" t="s">
        <v>19</v>
      </c>
      <c r="F11" s="1"/>
      <c r="G11" s="1" t="s">
        <v>17</v>
      </c>
      <c r="H11" s="1" t="s">
        <v>35</v>
      </c>
      <c r="J11" s="1" t="s">
        <v>14</v>
      </c>
      <c r="K11" s="5">
        <v>45778</v>
      </c>
    </row>
    <row r="12" spans="1:11" ht="15.75" hidden="1" customHeight="1" x14ac:dyDescent="0.2">
      <c r="A12" s="1">
        <v>11</v>
      </c>
      <c r="B12" s="1" t="s">
        <v>36</v>
      </c>
      <c r="C12" s="1">
        <v>9578570011</v>
      </c>
      <c r="D12" s="1">
        <v>4320</v>
      </c>
      <c r="E12" s="1" t="s">
        <v>37</v>
      </c>
      <c r="G12" s="1" t="s">
        <v>10</v>
      </c>
      <c r="H12" s="1" t="s">
        <v>38</v>
      </c>
      <c r="I12" s="1">
        <v>41187579440</v>
      </c>
      <c r="J12" s="1" t="s">
        <v>39</v>
      </c>
      <c r="K12" s="3"/>
    </row>
    <row r="13" spans="1:11" ht="15.75" hidden="1" customHeight="1" x14ac:dyDescent="0.2">
      <c r="A13" s="1">
        <v>12</v>
      </c>
      <c r="B13" s="1" t="s">
        <v>40</v>
      </c>
      <c r="C13" s="1">
        <v>9500413820</v>
      </c>
      <c r="D13" s="1"/>
      <c r="E13" s="1" t="s">
        <v>13</v>
      </c>
      <c r="F13" s="1" t="s">
        <v>25</v>
      </c>
      <c r="G13" s="1" t="s">
        <v>17</v>
      </c>
      <c r="H13" s="1" t="s">
        <v>41</v>
      </c>
      <c r="J13" s="1" t="s">
        <v>14</v>
      </c>
      <c r="K13" s="3"/>
    </row>
    <row r="14" spans="1:11" ht="15.75" customHeight="1" x14ac:dyDescent="0.2">
      <c r="A14" s="1">
        <v>13</v>
      </c>
      <c r="B14" s="1" t="s">
        <v>42</v>
      </c>
      <c r="C14" s="1">
        <v>9123583510</v>
      </c>
      <c r="D14" s="1">
        <v>650</v>
      </c>
      <c r="E14" s="1" t="s">
        <v>24</v>
      </c>
      <c r="F14" s="1"/>
      <c r="G14" s="1" t="s">
        <v>17</v>
      </c>
      <c r="H14" s="1" t="s">
        <v>43</v>
      </c>
      <c r="J14" s="6" t="s">
        <v>14</v>
      </c>
      <c r="K14" s="5">
        <v>45778</v>
      </c>
    </row>
    <row r="15" spans="1:11" ht="15.75" customHeight="1" x14ac:dyDescent="0.2">
      <c r="A15" s="1">
        <v>14</v>
      </c>
      <c r="B15" s="1" t="s">
        <v>44</v>
      </c>
      <c r="C15" s="1">
        <v>9566188384</v>
      </c>
      <c r="D15" s="1">
        <f>25*345</f>
        <v>8625</v>
      </c>
      <c r="E15" s="1" t="s">
        <v>138</v>
      </c>
      <c r="G15" s="1" t="s">
        <v>17</v>
      </c>
      <c r="H15" s="1">
        <v>42839180270</v>
      </c>
      <c r="J15" s="6" t="s">
        <v>14</v>
      </c>
      <c r="K15" s="3"/>
    </row>
    <row r="16" spans="1:11" ht="15.75" hidden="1" customHeight="1" x14ac:dyDescent="0.2">
      <c r="A16" s="1">
        <v>15</v>
      </c>
      <c r="B16" s="1" t="s">
        <v>45</v>
      </c>
      <c r="C16" s="1">
        <v>9843581580</v>
      </c>
      <c r="D16" s="1">
        <v>560</v>
      </c>
      <c r="E16" s="1" t="s">
        <v>46</v>
      </c>
      <c r="F16" s="1" t="s">
        <v>25</v>
      </c>
      <c r="G16" s="1" t="s">
        <v>17</v>
      </c>
      <c r="H16" s="1" t="s">
        <v>47</v>
      </c>
      <c r="J16" s="1" t="s">
        <v>14</v>
      </c>
      <c r="K16" s="3"/>
    </row>
    <row r="17" spans="1:11" ht="15.75" customHeight="1" x14ac:dyDescent="0.2">
      <c r="A17" s="1">
        <v>16</v>
      </c>
      <c r="B17" s="1" t="s">
        <v>48</v>
      </c>
      <c r="C17" s="1">
        <v>9791111788</v>
      </c>
      <c r="D17" s="1">
        <f>27*300</f>
        <v>8100</v>
      </c>
      <c r="E17" s="3" t="s">
        <v>132</v>
      </c>
      <c r="G17" s="1" t="s">
        <v>17</v>
      </c>
      <c r="H17" s="2">
        <v>831000000000</v>
      </c>
      <c r="K17" s="3"/>
    </row>
    <row r="18" spans="1:11" ht="15.75" customHeight="1" x14ac:dyDescent="0.2">
      <c r="A18" s="1">
        <v>17</v>
      </c>
      <c r="B18" s="1" t="s">
        <v>49</v>
      </c>
      <c r="C18" s="1">
        <v>9677713843</v>
      </c>
      <c r="D18" s="1">
        <v>600</v>
      </c>
      <c r="G18" s="1" t="s">
        <v>10</v>
      </c>
      <c r="H18" s="2">
        <v>831000000000</v>
      </c>
      <c r="J18" s="3" t="s">
        <v>14</v>
      </c>
      <c r="K18" s="3"/>
    </row>
    <row r="19" spans="1:11" ht="15.75" customHeight="1" x14ac:dyDescent="0.2">
      <c r="A19" s="1">
        <v>18</v>
      </c>
      <c r="B19" s="1" t="s">
        <v>50</v>
      </c>
      <c r="C19" s="1">
        <v>8056296896</v>
      </c>
      <c r="D19" s="1">
        <v>1140</v>
      </c>
      <c r="G19" s="1" t="s">
        <v>10</v>
      </c>
      <c r="H19" s="1" t="s">
        <v>51</v>
      </c>
      <c r="K19" s="3"/>
    </row>
    <row r="20" spans="1:11" ht="15.75" customHeight="1" x14ac:dyDescent="0.2">
      <c r="A20" s="1">
        <v>19</v>
      </c>
      <c r="B20" s="1" t="s">
        <v>52</v>
      </c>
      <c r="C20" s="1">
        <v>9941214615</v>
      </c>
      <c r="D20" s="1">
        <v>2000</v>
      </c>
      <c r="E20" s="1" t="s">
        <v>53</v>
      </c>
      <c r="G20" s="1" t="s">
        <v>10</v>
      </c>
      <c r="H20" s="1" t="s">
        <v>54</v>
      </c>
      <c r="I20" s="2" t="s">
        <v>55</v>
      </c>
      <c r="J20" s="6" t="s">
        <v>14</v>
      </c>
      <c r="K20" s="3"/>
    </row>
    <row r="21" spans="1:11" ht="15.75" hidden="1" customHeight="1" x14ac:dyDescent="0.2">
      <c r="A21" s="1">
        <v>20</v>
      </c>
      <c r="B21" s="1" t="s">
        <v>56</v>
      </c>
      <c r="C21" s="1">
        <v>9962772622</v>
      </c>
      <c r="D21" s="1">
        <v>250</v>
      </c>
      <c r="E21" s="1" t="s">
        <v>140</v>
      </c>
      <c r="F21" s="1" t="s">
        <v>25</v>
      </c>
      <c r="G21" s="1" t="s">
        <v>17</v>
      </c>
      <c r="H21" s="1" t="s">
        <v>57</v>
      </c>
      <c r="J21" s="1" t="s">
        <v>39</v>
      </c>
      <c r="K21" s="3"/>
    </row>
    <row r="22" spans="1:11" ht="15.75" hidden="1" customHeight="1" x14ac:dyDescent="0.2">
      <c r="A22" s="1">
        <v>21</v>
      </c>
      <c r="B22" s="1" t="s">
        <v>58</v>
      </c>
      <c r="C22" s="1">
        <v>7299241342</v>
      </c>
      <c r="D22" s="1">
        <v>1200</v>
      </c>
      <c r="E22" s="1" t="s">
        <v>19</v>
      </c>
      <c r="F22" s="1" t="s">
        <v>25</v>
      </c>
      <c r="G22" s="1" t="s">
        <v>17</v>
      </c>
      <c r="H22" s="1" t="s">
        <v>59</v>
      </c>
      <c r="J22" s="1" t="s">
        <v>14</v>
      </c>
      <c r="K22" s="3"/>
    </row>
    <row r="23" spans="1:11" ht="15.75" customHeight="1" x14ac:dyDescent="0.2">
      <c r="A23" s="1">
        <v>22</v>
      </c>
      <c r="B23" s="1" t="s">
        <v>60</v>
      </c>
      <c r="C23" s="1">
        <v>9444403805</v>
      </c>
      <c r="D23" s="1">
        <v>670</v>
      </c>
      <c r="E23" s="1" t="s">
        <v>61</v>
      </c>
      <c r="G23" s="1" t="s">
        <v>10</v>
      </c>
      <c r="J23" s="1" t="s">
        <v>14</v>
      </c>
      <c r="K23" s="3"/>
    </row>
    <row r="24" spans="1:11" ht="15.75" hidden="1" customHeight="1" x14ac:dyDescent="0.2">
      <c r="A24" s="1">
        <v>23</v>
      </c>
      <c r="B24" s="1" t="s">
        <v>62</v>
      </c>
      <c r="C24" s="1">
        <v>9445841192</v>
      </c>
      <c r="D24" s="1">
        <v>670</v>
      </c>
      <c r="E24" s="1" t="s">
        <v>16</v>
      </c>
      <c r="F24" s="1" t="s">
        <v>25</v>
      </c>
      <c r="G24" s="1" t="s">
        <v>17</v>
      </c>
      <c r="H24" s="1" t="s">
        <v>63</v>
      </c>
      <c r="J24" s="1" t="s">
        <v>14</v>
      </c>
      <c r="K24" s="3"/>
    </row>
    <row r="25" spans="1:11" ht="15.75" customHeight="1" x14ac:dyDescent="0.2">
      <c r="A25" s="1">
        <v>24</v>
      </c>
      <c r="B25" s="1" t="s">
        <v>64</v>
      </c>
      <c r="C25" s="1">
        <v>9444454698</v>
      </c>
      <c r="D25" s="1">
        <v>1000</v>
      </c>
      <c r="E25" s="1" t="s">
        <v>19</v>
      </c>
      <c r="G25" s="1" t="s">
        <v>10</v>
      </c>
      <c r="H25" s="1" t="s">
        <v>65</v>
      </c>
      <c r="K25" s="3"/>
    </row>
    <row r="26" spans="1:11" ht="15.75" customHeight="1" x14ac:dyDescent="0.2">
      <c r="A26" s="1">
        <v>25</v>
      </c>
      <c r="B26" s="1" t="s">
        <v>66</v>
      </c>
      <c r="C26" s="1">
        <v>9445264853</v>
      </c>
      <c r="D26" s="1">
        <v>1360</v>
      </c>
      <c r="E26" s="1" t="s">
        <v>53</v>
      </c>
      <c r="G26" s="1" t="s">
        <v>10</v>
      </c>
      <c r="H26" s="1">
        <v>42825509430</v>
      </c>
      <c r="K26" s="3"/>
    </row>
    <row r="27" spans="1:11" ht="15.75" customHeight="1" x14ac:dyDescent="0.2">
      <c r="A27" s="1">
        <v>26</v>
      </c>
      <c r="B27" s="1" t="s">
        <v>67</v>
      </c>
      <c r="C27" s="1">
        <v>9444499794</v>
      </c>
      <c r="D27" s="1">
        <f>590*8</f>
        <v>4720</v>
      </c>
      <c r="E27" s="1" t="s">
        <v>141</v>
      </c>
      <c r="G27" s="1" t="s">
        <v>17</v>
      </c>
      <c r="H27" s="1" t="s">
        <v>69</v>
      </c>
      <c r="J27" s="6" t="s">
        <v>14</v>
      </c>
      <c r="K27" s="3"/>
    </row>
    <row r="28" spans="1:11" ht="15.75" hidden="1" customHeight="1" x14ac:dyDescent="0.2">
      <c r="A28" s="1">
        <v>27</v>
      </c>
      <c r="B28" s="1" t="s">
        <v>68</v>
      </c>
      <c r="C28" s="1">
        <v>9000735190</v>
      </c>
      <c r="D28" s="1">
        <v>500</v>
      </c>
      <c r="G28" s="1" t="s">
        <v>10</v>
      </c>
      <c r="H28" s="1"/>
      <c r="J28" s="6" t="s">
        <v>39</v>
      </c>
      <c r="K28" s="3"/>
    </row>
    <row r="29" spans="1:11" ht="15.75" customHeight="1" x14ac:dyDescent="0.2">
      <c r="A29" s="1">
        <v>28</v>
      </c>
      <c r="B29" s="1" t="s">
        <v>142</v>
      </c>
      <c r="C29" s="1">
        <v>9840707904</v>
      </c>
      <c r="D29" s="1">
        <f>280*3</f>
        <v>840</v>
      </c>
      <c r="E29" s="7" t="s">
        <v>144</v>
      </c>
      <c r="G29" s="1" t="s">
        <v>17</v>
      </c>
      <c r="H29" s="1" t="s">
        <v>143</v>
      </c>
      <c r="J29" s="7" t="s">
        <v>14</v>
      </c>
      <c r="K29" s="3"/>
    </row>
    <row r="30" spans="1:11" ht="15.75" customHeight="1" x14ac:dyDescent="0.2">
      <c r="A30" s="1">
        <v>29</v>
      </c>
      <c r="B30" s="1" t="s">
        <v>70</v>
      </c>
      <c r="C30">
        <v>9444914590</v>
      </c>
      <c r="D30" s="1">
        <f>21*400</f>
        <v>8400</v>
      </c>
      <c r="E30" s="3" t="s">
        <v>133</v>
      </c>
      <c r="G30" s="1" t="s">
        <v>17</v>
      </c>
      <c r="H30" s="1" t="s">
        <v>71</v>
      </c>
      <c r="J30" s="6" t="s">
        <v>14</v>
      </c>
      <c r="K30" s="5">
        <v>45778</v>
      </c>
    </row>
    <row r="31" spans="1:11" ht="15.75" hidden="1" customHeight="1" x14ac:dyDescent="0.2">
      <c r="A31" s="1">
        <v>30</v>
      </c>
      <c r="B31" s="1" t="s">
        <v>72</v>
      </c>
      <c r="C31" s="1">
        <v>7401616755</v>
      </c>
      <c r="D31" s="1">
        <v>600</v>
      </c>
      <c r="E31" s="1" t="s">
        <v>46</v>
      </c>
      <c r="F31" s="1" t="s">
        <v>25</v>
      </c>
      <c r="G31" s="1" t="s">
        <v>17</v>
      </c>
      <c r="H31" s="1" t="s">
        <v>73</v>
      </c>
      <c r="J31" s="1" t="s">
        <v>14</v>
      </c>
      <c r="K31" s="3"/>
    </row>
    <row r="32" spans="1:11" ht="15.75" hidden="1" customHeight="1" x14ac:dyDescent="0.2">
      <c r="A32" s="1">
        <v>31</v>
      </c>
      <c r="B32" s="1" t="s">
        <v>74</v>
      </c>
      <c r="C32" s="1">
        <v>9443619467</v>
      </c>
      <c r="D32" s="1">
        <v>520</v>
      </c>
      <c r="E32" s="1" t="s">
        <v>24</v>
      </c>
      <c r="F32" s="1" t="s">
        <v>25</v>
      </c>
      <c r="G32" s="1" t="s">
        <v>17</v>
      </c>
      <c r="H32" s="1" t="s">
        <v>75</v>
      </c>
      <c r="J32" s="1" t="s">
        <v>14</v>
      </c>
      <c r="K32" s="3"/>
    </row>
    <row r="33" spans="1:11" ht="15.75" customHeight="1" x14ac:dyDescent="0.2">
      <c r="A33" s="1">
        <v>32</v>
      </c>
      <c r="B33" s="1" t="s">
        <v>76</v>
      </c>
      <c r="C33" s="1">
        <v>9840256401</v>
      </c>
      <c r="D33" s="1">
        <v>560</v>
      </c>
      <c r="E33" s="1" t="s">
        <v>24</v>
      </c>
      <c r="F33" s="1"/>
      <c r="G33" s="1" t="s">
        <v>17</v>
      </c>
      <c r="H33" s="1">
        <v>21758414870</v>
      </c>
      <c r="J33" s="1" t="s">
        <v>14</v>
      </c>
      <c r="K33" s="3"/>
    </row>
    <row r="34" spans="1:11" ht="15.75" customHeight="1" x14ac:dyDescent="0.2">
      <c r="A34" s="1">
        <v>33</v>
      </c>
      <c r="B34" s="1" t="s">
        <v>77</v>
      </c>
      <c r="D34" s="1">
        <v>655</v>
      </c>
      <c r="F34" s="1"/>
      <c r="G34" s="1" t="s">
        <v>10</v>
      </c>
      <c r="H34" s="1" t="s">
        <v>78</v>
      </c>
      <c r="I34" s="1">
        <v>21756878650</v>
      </c>
      <c r="K34" s="3"/>
    </row>
    <row r="35" spans="1:11" ht="15.75" customHeight="1" x14ac:dyDescent="0.2">
      <c r="A35" s="1">
        <v>34</v>
      </c>
      <c r="B35" s="1" t="s">
        <v>79</v>
      </c>
      <c r="C35" s="1">
        <v>9940166018</v>
      </c>
      <c r="D35" s="1">
        <f>22*300</f>
        <v>6600</v>
      </c>
      <c r="E35" s="6" t="s">
        <v>135</v>
      </c>
      <c r="G35" s="1" t="s">
        <v>17</v>
      </c>
      <c r="H35" s="1" t="s">
        <v>80</v>
      </c>
      <c r="J35" s="6" t="s">
        <v>14</v>
      </c>
      <c r="K35" s="3"/>
    </row>
    <row r="36" spans="1:11" ht="15.75" customHeight="1" x14ac:dyDescent="0.2">
      <c r="A36" s="1">
        <v>35</v>
      </c>
      <c r="B36" s="1" t="s">
        <v>81</v>
      </c>
      <c r="C36" s="1">
        <v>9444136732</v>
      </c>
      <c r="D36" s="1">
        <v>7200</v>
      </c>
      <c r="E36" s="1" t="s">
        <v>147</v>
      </c>
      <c r="G36" s="1" t="s">
        <v>148</v>
      </c>
      <c r="H36" s="1">
        <v>21485830800</v>
      </c>
      <c r="J36" s="7" t="s">
        <v>14</v>
      </c>
      <c r="K36" s="3"/>
    </row>
    <row r="37" spans="1:11" ht="15.75" customHeight="1" x14ac:dyDescent="0.2">
      <c r="A37" s="1">
        <v>36</v>
      </c>
      <c r="B37" s="1" t="s">
        <v>82</v>
      </c>
      <c r="C37" s="1" t="s">
        <v>137</v>
      </c>
      <c r="D37" s="1">
        <f>27*630/2</f>
        <v>8505</v>
      </c>
      <c r="E37" s="1" t="s">
        <v>136</v>
      </c>
      <c r="G37" s="1" t="s">
        <v>17</v>
      </c>
      <c r="H37" s="1" t="s">
        <v>83</v>
      </c>
      <c r="J37" s="6" t="s">
        <v>14</v>
      </c>
      <c r="K37" s="5">
        <v>45778</v>
      </c>
    </row>
    <row r="38" spans="1:11" ht="15.75" hidden="1" customHeight="1" x14ac:dyDescent="0.2">
      <c r="A38" s="1">
        <v>37</v>
      </c>
      <c r="B38" s="1" t="s">
        <v>84</v>
      </c>
      <c r="C38" s="1">
        <v>9042021711</v>
      </c>
      <c r="D38" s="1">
        <v>1170</v>
      </c>
      <c r="E38" s="1" t="s">
        <v>19</v>
      </c>
      <c r="G38" s="1" t="s">
        <v>10</v>
      </c>
      <c r="H38" s="1" t="s">
        <v>85</v>
      </c>
      <c r="J38" s="3" t="s">
        <v>39</v>
      </c>
      <c r="K38" s="3"/>
    </row>
    <row r="39" spans="1:11" ht="15.75" hidden="1" customHeight="1" x14ac:dyDescent="0.2">
      <c r="A39" s="1">
        <v>38</v>
      </c>
      <c r="B39" s="1" t="s">
        <v>86</v>
      </c>
      <c r="C39" s="1">
        <v>9444465144</v>
      </c>
      <c r="D39" s="1">
        <v>2000</v>
      </c>
      <c r="E39" s="1" t="s">
        <v>87</v>
      </c>
      <c r="F39" s="1" t="s">
        <v>25</v>
      </c>
      <c r="G39" s="1" t="s">
        <v>17</v>
      </c>
      <c r="H39" s="1" t="s">
        <v>88</v>
      </c>
      <c r="J39" s="1" t="s">
        <v>39</v>
      </c>
      <c r="K39" s="3"/>
    </row>
    <row r="40" spans="1:11" ht="15.75" hidden="1" customHeight="1" x14ac:dyDescent="0.2">
      <c r="A40" s="1">
        <v>39</v>
      </c>
      <c r="B40" s="1" t="s">
        <v>89</v>
      </c>
      <c r="C40" s="1">
        <v>9283455004</v>
      </c>
      <c r="D40" s="1">
        <v>580</v>
      </c>
      <c r="E40" s="1" t="s">
        <v>117</v>
      </c>
      <c r="F40" s="1" t="s">
        <v>25</v>
      </c>
      <c r="G40" s="1" t="s">
        <v>17</v>
      </c>
      <c r="H40" s="1" t="s">
        <v>90</v>
      </c>
      <c r="J40" s="1" t="s">
        <v>14</v>
      </c>
      <c r="K40" s="3"/>
    </row>
    <row r="41" spans="1:11" ht="15.75" hidden="1" customHeight="1" x14ac:dyDescent="0.2">
      <c r="A41" s="1">
        <v>40</v>
      </c>
      <c r="B41" s="1" t="s">
        <v>91</v>
      </c>
      <c r="C41" s="1">
        <v>9751737417</v>
      </c>
      <c r="D41" s="1">
        <v>600</v>
      </c>
      <c r="E41" s="1" t="s">
        <v>28</v>
      </c>
      <c r="F41" s="1" t="s">
        <v>25</v>
      </c>
      <c r="G41" s="1" t="s">
        <v>17</v>
      </c>
      <c r="H41" s="1" t="s">
        <v>92</v>
      </c>
      <c r="J41" s="6" t="s">
        <v>14</v>
      </c>
      <c r="K41" s="3"/>
    </row>
    <row r="42" spans="1:11" ht="15.75" customHeight="1" x14ac:dyDescent="0.2">
      <c r="A42" s="1">
        <v>41</v>
      </c>
      <c r="B42" s="1" t="s">
        <v>93</v>
      </c>
      <c r="C42" s="1">
        <v>9840100748</v>
      </c>
      <c r="D42" s="1">
        <v>1160</v>
      </c>
      <c r="E42" s="1" t="s">
        <v>94</v>
      </c>
      <c r="G42" s="1" t="s">
        <v>10</v>
      </c>
      <c r="H42" s="1" t="s">
        <v>95</v>
      </c>
      <c r="K42" s="3"/>
    </row>
    <row r="43" spans="1:11" ht="15.75" customHeight="1" x14ac:dyDescent="0.2">
      <c r="A43" s="1">
        <v>42</v>
      </c>
      <c r="B43" s="1" t="s">
        <v>96</v>
      </c>
      <c r="C43" s="1">
        <v>9444042805</v>
      </c>
      <c r="D43" s="1">
        <v>780</v>
      </c>
      <c r="G43" s="1" t="s">
        <v>10</v>
      </c>
      <c r="H43" s="1">
        <v>41315070500</v>
      </c>
      <c r="K43" s="3"/>
    </row>
    <row r="44" spans="1:11" ht="15.75" customHeight="1" x14ac:dyDescent="0.2">
      <c r="A44" s="1">
        <v>43</v>
      </c>
      <c r="B44" s="1" t="s">
        <v>97</v>
      </c>
      <c r="C44" s="1">
        <v>7299225533</v>
      </c>
      <c r="D44" s="1">
        <v>7950</v>
      </c>
      <c r="E44" s="1" t="s">
        <v>145</v>
      </c>
      <c r="G44" s="1" t="s">
        <v>17</v>
      </c>
      <c r="H44" s="1" t="s">
        <v>98</v>
      </c>
      <c r="I44" s="1">
        <v>42839265900</v>
      </c>
      <c r="K44" s="3"/>
    </row>
    <row r="45" spans="1:11" ht="15.75" customHeight="1" x14ac:dyDescent="0.2">
      <c r="A45" s="1">
        <v>44</v>
      </c>
      <c r="B45" s="1" t="s">
        <v>99</v>
      </c>
      <c r="C45" s="1">
        <v>9962878656</v>
      </c>
      <c r="D45" s="1">
        <f>16*290</f>
        <v>4640</v>
      </c>
      <c r="E45" s="1" t="s">
        <v>139</v>
      </c>
      <c r="G45" s="1" t="s">
        <v>17</v>
      </c>
      <c r="H45" s="2"/>
      <c r="K45" s="3"/>
    </row>
    <row r="46" spans="1:11" ht="15.75" hidden="1" customHeight="1" x14ac:dyDescent="0.2">
      <c r="A46" s="1">
        <v>45</v>
      </c>
      <c r="B46" s="1" t="s">
        <v>100</v>
      </c>
      <c r="C46" s="1">
        <v>9884268147</v>
      </c>
      <c r="D46" s="1">
        <v>740</v>
      </c>
      <c r="E46" s="3" t="s">
        <v>24</v>
      </c>
      <c r="F46" s="1" t="s">
        <v>25</v>
      </c>
      <c r="G46" s="1" t="s">
        <v>17</v>
      </c>
      <c r="H46" s="1" t="s">
        <v>101</v>
      </c>
      <c r="J46" s="1" t="s">
        <v>14</v>
      </c>
      <c r="K46" s="3"/>
    </row>
    <row r="47" spans="1:11" ht="15.75" customHeight="1" x14ac:dyDescent="0.2">
      <c r="A47" s="1">
        <v>46</v>
      </c>
      <c r="B47" s="1" t="s">
        <v>102</v>
      </c>
      <c r="C47" s="1">
        <v>9842336496</v>
      </c>
      <c r="D47" s="1">
        <v>600</v>
      </c>
      <c r="E47" s="1" t="s">
        <v>103</v>
      </c>
      <c r="G47" s="1" t="s">
        <v>10</v>
      </c>
      <c r="H47" s="2">
        <v>831000000000</v>
      </c>
      <c r="K47" s="3"/>
    </row>
    <row r="48" spans="1:11" ht="15.75" hidden="1" customHeight="1" x14ac:dyDescent="0.2">
      <c r="A48" s="1">
        <v>47</v>
      </c>
      <c r="B48" s="1" t="s">
        <v>104</v>
      </c>
      <c r="C48" s="1">
        <v>9655353223</v>
      </c>
      <c r="D48" s="1">
        <v>1120</v>
      </c>
      <c r="E48" s="1" t="s">
        <v>19</v>
      </c>
      <c r="F48" s="1" t="s">
        <v>25</v>
      </c>
      <c r="G48" s="1" t="s">
        <v>17</v>
      </c>
      <c r="H48" s="1" t="s">
        <v>105</v>
      </c>
      <c r="J48" s="1" t="s">
        <v>14</v>
      </c>
      <c r="K48" s="3"/>
    </row>
    <row r="49" spans="1:11" ht="15.75" customHeight="1" x14ac:dyDescent="0.2">
      <c r="A49" s="1">
        <v>48</v>
      </c>
      <c r="B49" s="1" t="s">
        <v>106</v>
      </c>
      <c r="C49" s="1">
        <v>8012360395</v>
      </c>
      <c r="D49" s="1">
        <v>1120</v>
      </c>
      <c r="E49" s="1" t="s">
        <v>107</v>
      </c>
      <c r="G49" s="1" t="s">
        <v>10</v>
      </c>
      <c r="H49" s="1">
        <v>40217851400</v>
      </c>
      <c r="J49" s="6" t="s">
        <v>14</v>
      </c>
      <c r="K49" s="3"/>
    </row>
    <row r="50" spans="1:11" ht="15.75" customHeight="1" x14ac:dyDescent="0.2">
      <c r="A50" s="1">
        <v>49</v>
      </c>
      <c r="B50" s="1" t="s">
        <v>108</v>
      </c>
      <c r="C50" s="1">
        <v>6381930033</v>
      </c>
      <c r="D50" s="1">
        <f>25*300</f>
        <v>7500</v>
      </c>
      <c r="E50" s="1" t="s">
        <v>131</v>
      </c>
      <c r="G50" s="1" t="s">
        <v>17</v>
      </c>
      <c r="H50" s="2">
        <v>831000000000</v>
      </c>
      <c r="J50" s="6" t="s">
        <v>14</v>
      </c>
      <c r="K50" s="3"/>
    </row>
    <row r="51" spans="1:11" ht="15.75" hidden="1" customHeight="1" x14ac:dyDescent="0.2">
      <c r="A51" s="1">
        <v>50</v>
      </c>
      <c r="B51" s="1" t="s">
        <v>109</v>
      </c>
      <c r="C51" s="1">
        <v>9941064562</v>
      </c>
      <c r="D51" s="1">
        <v>620</v>
      </c>
      <c r="E51" s="1" t="s">
        <v>110</v>
      </c>
      <c r="F51" s="1" t="s">
        <v>25</v>
      </c>
      <c r="G51" s="1" t="s">
        <v>17</v>
      </c>
      <c r="H51" s="1" t="s">
        <v>111</v>
      </c>
      <c r="J51" s="6" t="s">
        <v>14</v>
      </c>
      <c r="K51" s="3"/>
    </row>
    <row r="52" spans="1:11" ht="15.75" customHeight="1" x14ac:dyDescent="0.2">
      <c r="A52" s="1">
        <v>51</v>
      </c>
      <c r="B52" s="1" t="s">
        <v>112</v>
      </c>
      <c r="C52" s="1">
        <v>9500575230</v>
      </c>
      <c r="D52" s="1">
        <v>820</v>
      </c>
      <c r="G52" s="1" t="s">
        <v>10</v>
      </c>
      <c r="H52" s="1">
        <v>21490060000</v>
      </c>
      <c r="K52" s="3"/>
    </row>
    <row r="53" spans="1:11" ht="15.75" customHeight="1" x14ac:dyDescent="0.2">
      <c r="A53" s="1">
        <v>52</v>
      </c>
      <c r="B53" s="1" t="s">
        <v>113</v>
      </c>
      <c r="C53" s="1">
        <v>9840955599</v>
      </c>
      <c r="D53" s="1">
        <v>3300</v>
      </c>
      <c r="E53" s="1" t="s">
        <v>114</v>
      </c>
      <c r="G53" s="1" t="s">
        <v>10</v>
      </c>
      <c r="H53" s="1" t="s">
        <v>115</v>
      </c>
      <c r="J53" s="1" t="s">
        <v>14</v>
      </c>
      <c r="K53" s="3"/>
    </row>
    <row r="54" spans="1:11" ht="15.75" hidden="1" customHeight="1" x14ac:dyDescent="0.2">
      <c r="A54" s="1">
        <v>53</v>
      </c>
      <c r="B54" s="1" t="s">
        <v>116</v>
      </c>
      <c r="C54" s="1">
        <v>9444501152</v>
      </c>
      <c r="D54" s="1">
        <v>560</v>
      </c>
      <c r="E54" s="1" t="s">
        <v>117</v>
      </c>
      <c r="F54" s="1" t="s">
        <v>25</v>
      </c>
      <c r="G54" s="1" t="s">
        <v>17</v>
      </c>
      <c r="H54" s="1" t="s">
        <v>118</v>
      </c>
      <c r="J54" s="1" t="s">
        <v>14</v>
      </c>
      <c r="K54" s="3"/>
    </row>
    <row r="55" spans="1:11" ht="15.75" customHeight="1" x14ac:dyDescent="0.2">
      <c r="A55" s="1">
        <v>54</v>
      </c>
      <c r="B55" s="1" t="s">
        <v>119</v>
      </c>
      <c r="C55" s="1">
        <v>9182471761</v>
      </c>
      <c r="D55" s="1">
        <v>760</v>
      </c>
      <c r="G55" s="1" t="s">
        <v>10</v>
      </c>
      <c r="H55" s="1" t="s">
        <v>120</v>
      </c>
      <c r="J55" s="6" t="s">
        <v>14</v>
      </c>
      <c r="K55" s="3"/>
    </row>
    <row r="56" spans="1:11" ht="15.75" hidden="1" customHeight="1" x14ac:dyDescent="0.2">
      <c r="A56" s="1">
        <v>55</v>
      </c>
      <c r="B56" s="1" t="s">
        <v>121</v>
      </c>
      <c r="C56" s="1">
        <v>9445507119</v>
      </c>
      <c r="D56" s="1">
        <v>1040</v>
      </c>
      <c r="G56" s="1" t="s">
        <v>10</v>
      </c>
      <c r="H56" s="1">
        <v>42801317380</v>
      </c>
      <c r="I56" s="1" t="s">
        <v>122</v>
      </c>
      <c r="J56" s="3" t="s">
        <v>39</v>
      </c>
      <c r="K56" s="3"/>
    </row>
    <row r="57" spans="1:11" ht="15.75" customHeight="1" x14ac:dyDescent="0.2">
      <c r="A57" s="1">
        <v>56</v>
      </c>
      <c r="B57" s="1" t="s">
        <v>123</v>
      </c>
      <c r="C57" s="1">
        <v>9940498931</v>
      </c>
      <c r="D57" s="1">
        <v>5600</v>
      </c>
      <c r="E57" s="1" t="s">
        <v>124</v>
      </c>
      <c r="G57" s="1" t="s">
        <v>17</v>
      </c>
      <c r="H57" s="1" t="s">
        <v>125</v>
      </c>
      <c r="J57" s="1" t="s">
        <v>14</v>
      </c>
      <c r="K57" s="3"/>
    </row>
    <row r="58" spans="1:11" ht="15.75" customHeight="1" x14ac:dyDescent="0.2">
      <c r="A58" s="1">
        <v>57</v>
      </c>
      <c r="B58" s="1" t="s">
        <v>126</v>
      </c>
      <c r="C58" s="1">
        <v>8667254298</v>
      </c>
      <c r="D58" s="1">
        <v>480</v>
      </c>
      <c r="E58" s="1" t="s">
        <v>127</v>
      </c>
      <c r="F58" s="1"/>
      <c r="G58" s="1" t="s">
        <v>10</v>
      </c>
      <c r="H58" s="1" t="s">
        <v>128</v>
      </c>
      <c r="K58" s="3"/>
    </row>
  </sheetData>
  <autoFilter ref="A1:J58" xr:uid="{00000000-0001-0000-0000-000000000000}">
    <filterColumn colId="5">
      <filters blank="1"/>
    </filterColumn>
    <filterColumn colId="9">
      <filters blank="1">
        <filter val="active"/>
      </filters>
    </filterColumn>
  </autoFilter>
  <conditionalFormatting sqref="F1:F1048576">
    <cfRule type="cellIs" dxfId="0" priority="1" operator="equal">
      <formula>"paid"</formula>
    </cfRule>
  </conditionalFormatting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 Raj</dc:creator>
  <cp:lastModifiedBy>Gowtham Raj</cp:lastModifiedBy>
  <dcterms:created xsi:type="dcterms:W3CDTF">2025-03-11T08:49:00Z</dcterms:created>
  <dcterms:modified xsi:type="dcterms:W3CDTF">2025-04-27T10:11:23Z</dcterms:modified>
</cp:coreProperties>
</file>